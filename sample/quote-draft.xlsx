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 EN" sheetId="1" r:id="rId1"/>
    <sheet name="عرض السعر AR" sheetId="2" r:id="rId2"/>
    <sheet name="Exceptions" sheetId="3" r:id="rId3"/>
  </sheets>
  <definedNames>
    <definedName name="_xlnm._FilterDatabase" localSheetId="0" hidden="1">'Quote EN'!$A$5:$J$13</definedName>
    <definedName name="_xlnm._FilterDatabase" localSheetId="1" hidden="1">'عرض السعر AR'!$A$5:$J$13</definedName>
    <definedName name="_xlnm.Print_Area" localSheetId="0">'Quote EN'!$A$1:$J$19</definedName>
    <definedName name="_xlnm.Print_Area" localSheetId="1">'عرض السعر AR'!$A$1:$J$19</definedName>
    <definedName name="_xlnm.Print_Titles" localSheetId="0">'Quote EN'!$1:$5</definedName>
    <definedName name="_xlnm.Print_Titles" localSheetId="1">'عرض السعر AR'!$1:$5</definedName>
  </definedNames>
  <calcPr calcId="124519" fullCalcOnLoad="1"/>
</workbook>
</file>

<file path=xl/sharedStrings.xml><?xml version="1.0" encoding="utf-8"?>
<sst xmlns="http://schemas.openxmlformats.org/spreadsheetml/2006/main" count="154" uniqueCount="78">
  <si>
    <t>QUOTATION / REVIEW DRAFT</t>
  </si>
  <si>
    <t>SYNTHETIC DEMONSTRATION · All rows require final human approval · Price version: SYNTHETIC-AED-2026-09-15</t>
  </si>
  <si>
    <t>Approved prices only. A review row withholds the complete quotation total. Regenerate after input changes.</t>
  </si>
  <si>
    <t>#</t>
  </si>
  <si>
    <t>Product code</t>
  </si>
  <si>
    <t>Description</t>
  </si>
  <si>
    <t>Quantity</t>
  </si>
  <si>
    <t>Unit</t>
  </si>
  <si>
    <t>Price AED</t>
  </si>
  <si>
    <t>Amount AED</t>
  </si>
  <si>
    <t>Status</t>
  </si>
  <si>
    <t>Review reason</t>
  </si>
  <si>
    <t>Source</t>
  </si>
  <si>
    <t>1</t>
  </si>
  <si>
    <t>SW-A01</t>
  </si>
  <si>
    <t>Wall switch</t>
  </si>
  <si>
    <t>EA</t>
  </si>
  <si>
    <t>MATCHED</t>
  </si>
  <si>
    <t/>
  </si>
  <si>
    <t>PDF p1, table row 2</t>
  </si>
  <si>
    <t>2</t>
  </si>
  <si>
    <t>CL-B02</t>
  </si>
  <si>
    <t>Cable clip</t>
  </si>
  <si>
    <t>PDF p1, table row 3</t>
  </si>
  <si>
    <t>3</t>
  </si>
  <si>
    <t>CB-C03</t>
  </si>
  <si>
    <t>Cable metre</t>
  </si>
  <si>
    <t>M</t>
  </si>
  <si>
    <t>PDF p1, table row 4</t>
  </si>
  <si>
    <t>4</t>
  </si>
  <si>
    <t>Main breaker</t>
  </si>
  <si>
    <t>REVIEW</t>
  </si>
  <si>
    <t>Description differs from catalogue; human approval required</t>
  </si>
  <si>
    <t>PDF p1, table row 5</t>
  </si>
  <si>
    <t>5</t>
  </si>
  <si>
    <t>FZ-D04</t>
  </si>
  <si>
    <t>Fuse holder</t>
  </si>
  <si>
    <t>Missing approved price</t>
  </si>
  <si>
    <t>PDF p1, table row 6</t>
  </si>
  <si>
    <t>6</t>
  </si>
  <si>
    <t>NO-SUCH</t>
  </si>
  <si>
    <t>Unknown item</t>
  </si>
  <si>
    <t>Unknown code</t>
  </si>
  <si>
    <t>PDF p1, table row 7</t>
  </si>
  <si>
    <t>7</t>
  </si>
  <si>
    <t>BOX</t>
  </si>
  <si>
    <t>Unit missing or does not match catalogue</t>
  </si>
  <si>
    <t>PDF p1, table row 8</t>
  </si>
  <si>
    <t>8</t>
  </si>
  <si>
    <t>Invalid or non-positive quantity</t>
  </si>
  <si>
    <t>PDF p1, table row 9</t>
  </si>
  <si>
    <t>0</t>
  </si>
  <si>
    <t>Matched subtotal</t>
  </si>
  <si>
    <t>Review items</t>
  </si>
  <si>
    <t>Complete total</t>
  </si>
  <si>
    <t>DRAFT ONLY / مسودة فقط · No tax, discount, pack conversion or automatic substitution. Review reasons and source references stay in English.</t>
  </si>
  <si>
    <t>مسودة عرض السعر · AED</t>
  </si>
  <si>
    <t>الأسعار من القائمة المعتمدة فقط؛ المراجعة البشرية مطلوبة.</t>
  </si>
  <si>
    <t>رمز المنتج</t>
  </si>
  <si>
    <t>الوصف</t>
  </si>
  <si>
    <t>الكمية</t>
  </si>
  <si>
    <t>الوحدة</t>
  </si>
  <si>
    <t>السعر AED</t>
  </si>
  <si>
    <t>المبلغ AED</t>
  </si>
  <si>
    <t>الحالة</t>
  </si>
  <si>
    <t>سبب المراجعة</t>
  </si>
  <si>
    <t>المصدر</t>
  </si>
  <si>
    <t>مفتاح حائط</t>
  </si>
  <si>
    <t>مشبك كابل</t>
  </si>
  <si>
    <t>كابل بالمتر</t>
  </si>
  <si>
    <t>المجموع المطابق</t>
  </si>
  <si>
    <t>عناصر للمراجعة</t>
  </si>
  <si>
    <t>المجموع الكامل</t>
  </si>
  <si>
    <t>PDF EXTRACTION EXCEPTIONS</t>
  </si>
  <si>
    <t>Non-item or malformed rows block a complete total. These are never silently dropped.</t>
  </si>
  <si>
    <t>Reason</t>
  </si>
  <si>
    <t>Raw table cells</t>
  </si>
  <si>
    <t>No extraction exceptions in this sample. Item-level review flags remain on the quotation sheets.</t>
  </si>
</sst>
</file>

<file path=xl/styles.xml><?xml version="1.0" encoding="utf-8"?>
<styleSheet xmlns="http://schemas.openxmlformats.org/spreadsheetml/2006/main">
  <numFmts count="2">
    <numFmt numFmtId="164" formatCode="0.######"/>
    <numFmt numFmtId="165" formatCode="#,##0.00"/>
  </numFmts>
  <fonts count="7">
    <font>
      <sz val="11"/>
      <color theme="1"/>
      <name val="Calibri"/>
      <family val="2"/>
      <scheme val="minor"/>
    </font>
    <font>
      <b/>
      <sz val="22"/>
      <color rgb="FF153D4C"/>
      <name val="Arial"/>
      <family val="2"/>
    </font>
    <font>
      <sz val="10"/>
      <color rgb="FF50616A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754500"/>
      <name val="Arial"/>
      <family val="2"/>
    </font>
    <font>
      <b/>
      <sz val="10"/>
      <color rgb="FF153D4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53D4C"/>
        <bgColor indexed="64"/>
      </patternFill>
    </fill>
    <fill>
      <patternFill patternType="solid">
        <fgColor rgb="FFFFF2D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8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9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30.7109375" customWidth="1"/>
    <col min="4" max="4" width="12.7109375" customWidth="1"/>
    <col min="5" max="5" width="9.7109375" customWidth="1"/>
    <col min="6" max="7" width="14.7109375" customWidth="1"/>
    <col min="8" max="8" width="15.7109375" customWidth="1"/>
    <col min="9" max="9" width="44.7109375" customWidth="1"/>
    <col min="10" max="10" width="25.7109375" customWidth="1"/>
  </cols>
  <sheetData>
    <row r="1" spans="1:10" ht="3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spans="1:10" ht="32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ht="46" customHeight="1">
      <c r="A6" s="4" t="s">
        <v>13</v>
      </c>
      <c r="B6" s="4" t="s">
        <v>14</v>
      </c>
      <c r="C6" s="4" t="s">
        <v>15</v>
      </c>
      <c r="D6" s="5">
        <v>2</v>
      </c>
      <c r="E6" s="4" t="s">
        <v>16</v>
      </c>
      <c r="F6" s="5">
        <v>12.5</v>
      </c>
      <c r="G6" s="6">
        <f>ROUND(D6*F6,2)</f>
        <v>25.0</v>
      </c>
      <c r="H6" s="4" t="s">
        <v>17</v>
      </c>
      <c r="I6" s="4" t="s">
        <v>18</v>
      </c>
      <c r="J6" s="4" t="s">
        <v>19</v>
      </c>
    </row>
    <row r="7" spans="1:10" ht="46" customHeight="1">
      <c r="A7" s="4" t="s">
        <v>20</v>
      </c>
      <c r="B7" s="4" t="s">
        <v>21</v>
      </c>
      <c r="C7" s="4" t="s">
        <v>22</v>
      </c>
      <c r="D7" s="5">
        <v>0.145</v>
      </c>
      <c r="E7" s="4" t="s">
        <v>16</v>
      </c>
      <c r="F7" s="5">
        <v>1</v>
      </c>
      <c r="G7" s="6">
        <f>ROUND(D7*F7,2)</f>
        <v>0.15</v>
      </c>
      <c r="H7" s="4" t="s">
        <v>17</v>
      </c>
      <c r="I7" s="4" t="s">
        <v>18</v>
      </c>
      <c r="J7" s="4" t="s">
        <v>23</v>
      </c>
    </row>
    <row r="8" spans="1:10" ht="46" customHeight="1">
      <c r="A8" s="4" t="s">
        <v>24</v>
      </c>
      <c r="B8" s="4" t="s">
        <v>25</v>
      </c>
      <c r="C8" s="4" t="s">
        <v>26</v>
      </c>
      <c r="D8" s="5">
        <v>1.005</v>
      </c>
      <c r="E8" s="4" t="s">
        <v>27</v>
      </c>
      <c r="F8" s="5">
        <v>1</v>
      </c>
      <c r="G8" s="6">
        <f>ROUND(D8*F8,2)</f>
        <v>1.01</v>
      </c>
      <c r="H8" s="4" t="s">
        <v>17</v>
      </c>
      <c r="I8" s="4" t="s">
        <v>18</v>
      </c>
      <c r="J8" s="4" t="s">
        <v>28</v>
      </c>
    </row>
    <row r="9" spans="1:10" ht="46" customHeight="1">
      <c r="A9" s="7" t="s">
        <v>29</v>
      </c>
      <c r="B9" s="7" t="s">
        <v>14</v>
      </c>
      <c r="C9" s="7" t="s">
        <v>30</v>
      </c>
      <c r="D9" s="5">
        <v>1</v>
      </c>
      <c r="E9" s="7" t="s">
        <v>16</v>
      </c>
      <c r="H9" s="7" t="s">
        <v>31</v>
      </c>
      <c r="I9" s="7" t="s">
        <v>32</v>
      </c>
      <c r="J9" s="7" t="s">
        <v>33</v>
      </c>
    </row>
    <row r="10" spans="1:10" ht="46" customHeight="1">
      <c r="A10" s="7" t="s">
        <v>34</v>
      </c>
      <c r="B10" s="7" t="s">
        <v>35</v>
      </c>
      <c r="C10" s="7" t="s">
        <v>36</v>
      </c>
      <c r="D10" s="5">
        <v>3</v>
      </c>
      <c r="E10" s="7" t="s">
        <v>16</v>
      </c>
      <c r="H10" s="7" t="s">
        <v>31</v>
      </c>
      <c r="I10" s="7" t="s">
        <v>37</v>
      </c>
      <c r="J10" s="7" t="s">
        <v>38</v>
      </c>
    </row>
    <row r="11" spans="1:10" ht="46" customHeight="1">
      <c r="A11" s="7" t="s">
        <v>39</v>
      </c>
      <c r="B11" s="7" t="s">
        <v>40</v>
      </c>
      <c r="C11" s="7" t="s">
        <v>41</v>
      </c>
      <c r="D11" s="5">
        <v>1</v>
      </c>
      <c r="E11" s="7" t="s">
        <v>16</v>
      </c>
      <c r="H11" s="7" t="s">
        <v>31</v>
      </c>
      <c r="I11" s="7" t="s">
        <v>42</v>
      </c>
      <c r="J11" s="7" t="s">
        <v>43</v>
      </c>
    </row>
    <row r="12" spans="1:10" ht="46" customHeight="1">
      <c r="A12" s="7" t="s">
        <v>44</v>
      </c>
      <c r="B12" s="7" t="s">
        <v>14</v>
      </c>
      <c r="C12" s="7" t="s">
        <v>15</v>
      </c>
      <c r="D12" s="5">
        <v>1</v>
      </c>
      <c r="E12" s="7" t="s">
        <v>45</v>
      </c>
      <c r="H12" s="7" t="s">
        <v>31</v>
      </c>
      <c r="I12" s="7" t="s">
        <v>46</v>
      </c>
      <c r="J12" s="7" t="s">
        <v>47</v>
      </c>
    </row>
    <row r="13" spans="1:10" ht="46" customHeight="1">
      <c r="A13" s="7" t="s">
        <v>48</v>
      </c>
      <c r="B13" s="7" t="s">
        <v>21</v>
      </c>
      <c r="C13" s="7" t="s">
        <v>22</v>
      </c>
      <c r="D13" s="7" t="s">
        <v>51</v>
      </c>
      <c r="E13" s="7" t="s">
        <v>16</v>
      </c>
      <c r="H13" s="7" t="s">
        <v>31</v>
      </c>
      <c r="I13" s="7" t="s">
        <v>49</v>
      </c>
      <c r="J13" s="7" t="s">
        <v>50</v>
      </c>
    </row>
    <row r="15" spans="1:10">
      <c r="D15" s="8" t="s">
        <v>52</v>
      </c>
      <c r="E15" s="8"/>
      <c r="F15" s="8"/>
      <c r="G15" s="6">
        <f>SUM(G6:G13)</f>
        <v>26.16</v>
      </c>
    </row>
    <row r="16" spans="1:10">
      <c r="D16" s="8" t="s">
        <v>53</v>
      </c>
      <c r="E16" s="8"/>
      <c r="F16" s="8"/>
      <c r="G16" s="5">
        <f>COUNTIF(H6:H13,"REVIEW")+COUNTA(Exceptions!A6:A105)</f>
        <v>5</v>
      </c>
    </row>
    <row r="17" spans="1:10">
      <c r="D17" s="8" t="s">
        <v>54</v>
      </c>
      <c r="E17" s="8"/>
      <c r="F17" s="8"/>
      <c r="G17" s="6">
        <f>IF(G16&gt;0,"",G15)</f>
        <v/>
      </c>
    </row>
    <row r="19" spans="1:10" ht="30" customHeight="1">
      <c r="A19" s="2" t="s">
        <v>55</v>
      </c>
      <c r="B19" s="2"/>
      <c r="C19" s="2"/>
      <c r="D19" s="2"/>
      <c r="E19" s="2"/>
      <c r="F19" s="2"/>
      <c r="G19" s="2"/>
      <c r="H19" s="2"/>
      <c r="I19" s="2"/>
      <c r="J19" s="2"/>
    </row>
  </sheetData>
  <autoFilter ref="A5:J13"/>
  <mergeCells count="7">
    <mergeCell ref="A1:J1"/>
    <mergeCell ref="A2:J2"/>
    <mergeCell ref="A3:J3"/>
    <mergeCell ref="D15:F15"/>
    <mergeCell ref="D16:F16"/>
    <mergeCell ref="D17:F17"/>
    <mergeCell ref="A19:J19"/>
  </mergeCells>
  <pageMargins left="0.25" right="0.25" top="0.4" bottom="0.4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9"/>
  <sheetViews>
    <sheetView showGridLines="0" rightToLeft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30.7109375" customWidth="1"/>
    <col min="4" max="4" width="12.7109375" customWidth="1"/>
    <col min="5" max="5" width="9.7109375" customWidth="1"/>
    <col min="6" max="7" width="14.7109375" customWidth="1"/>
    <col min="8" max="8" width="15.7109375" customWidth="1"/>
    <col min="9" max="9" width="44.7109375" customWidth="1"/>
    <col min="10" max="10" width="25.7109375" customWidth="1"/>
  </cols>
  <sheetData>
    <row r="1" spans="1:10" ht="38" customHeight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57</v>
      </c>
      <c r="B3" s="2"/>
      <c r="C3" s="2"/>
      <c r="D3" s="2"/>
      <c r="E3" s="2"/>
      <c r="F3" s="2"/>
      <c r="G3" s="2"/>
      <c r="H3" s="2"/>
      <c r="I3" s="2"/>
      <c r="J3" s="2"/>
    </row>
    <row r="5" spans="1:10" ht="32" customHeight="1">
      <c r="A5" s="3" t="s">
        <v>3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</row>
    <row r="6" spans="1:10" ht="46" customHeight="1">
      <c r="A6" s="4" t="s">
        <v>13</v>
      </c>
      <c r="B6" s="4" t="s">
        <v>14</v>
      </c>
      <c r="C6" s="4" t="s">
        <v>67</v>
      </c>
      <c r="D6" s="5">
        <v>2</v>
      </c>
      <c r="E6" s="4" t="s">
        <v>16</v>
      </c>
      <c r="F6" s="5">
        <v>12.5</v>
      </c>
      <c r="G6" s="6">
        <f>ROUND(D6*F6,2)</f>
        <v>25.0</v>
      </c>
      <c r="H6" s="4" t="s">
        <v>17</v>
      </c>
      <c r="I6" s="4" t="s">
        <v>18</v>
      </c>
      <c r="J6" s="4" t="s">
        <v>19</v>
      </c>
    </row>
    <row r="7" spans="1:10" ht="46" customHeight="1">
      <c r="A7" s="4" t="s">
        <v>20</v>
      </c>
      <c r="B7" s="4" t="s">
        <v>21</v>
      </c>
      <c r="C7" s="4" t="s">
        <v>68</v>
      </c>
      <c r="D7" s="5">
        <v>0.145</v>
      </c>
      <c r="E7" s="4" t="s">
        <v>16</v>
      </c>
      <c r="F7" s="5">
        <v>1</v>
      </c>
      <c r="G7" s="6">
        <f>ROUND(D7*F7,2)</f>
        <v>0.15</v>
      </c>
      <c r="H7" s="4" t="s">
        <v>17</v>
      </c>
      <c r="I7" s="4" t="s">
        <v>18</v>
      </c>
      <c r="J7" s="4" t="s">
        <v>23</v>
      </c>
    </row>
    <row r="8" spans="1:10" ht="46" customHeight="1">
      <c r="A8" s="4" t="s">
        <v>24</v>
      </c>
      <c r="B8" s="4" t="s">
        <v>25</v>
      </c>
      <c r="C8" s="4" t="s">
        <v>69</v>
      </c>
      <c r="D8" s="5">
        <v>1.005</v>
      </c>
      <c r="E8" s="4" t="s">
        <v>27</v>
      </c>
      <c r="F8" s="5">
        <v>1</v>
      </c>
      <c r="G8" s="6">
        <f>ROUND(D8*F8,2)</f>
        <v>1.01</v>
      </c>
      <c r="H8" s="4" t="s">
        <v>17</v>
      </c>
      <c r="I8" s="4" t="s">
        <v>18</v>
      </c>
      <c r="J8" s="4" t="s">
        <v>28</v>
      </c>
    </row>
    <row r="9" spans="1:10" ht="46" customHeight="1">
      <c r="A9" s="7" t="s">
        <v>29</v>
      </c>
      <c r="B9" s="7" t="s">
        <v>14</v>
      </c>
      <c r="C9" s="7" t="s">
        <v>30</v>
      </c>
      <c r="D9" s="5">
        <v>1</v>
      </c>
      <c r="E9" s="7" t="s">
        <v>16</v>
      </c>
      <c r="H9" s="7" t="s">
        <v>31</v>
      </c>
      <c r="I9" s="7" t="s">
        <v>32</v>
      </c>
      <c r="J9" s="7" t="s">
        <v>33</v>
      </c>
    </row>
    <row r="10" spans="1:10" ht="46" customHeight="1">
      <c r="A10" s="7" t="s">
        <v>34</v>
      </c>
      <c r="B10" s="7" t="s">
        <v>35</v>
      </c>
      <c r="C10" s="7" t="s">
        <v>36</v>
      </c>
      <c r="D10" s="5">
        <v>3</v>
      </c>
      <c r="E10" s="7" t="s">
        <v>16</v>
      </c>
      <c r="H10" s="7" t="s">
        <v>31</v>
      </c>
      <c r="I10" s="7" t="s">
        <v>37</v>
      </c>
      <c r="J10" s="7" t="s">
        <v>38</v>
      </c>
    </row>
    <row r="11" spans="1:10" ht="46" customHeight="1">
      <c r="A11" s="7" t="s">
        <v>39</v>
      </c>
      <c r="B11" s="7" t="s">
        <v>40</v>
      </c>
      <c r="C11" s="7" t="s">
        <v>41</v>
      </c>
      <c r="D11" s="5">
        <v>1</v>
      </c>
      <c r="E11" s="7" t="s">
        <v>16</v>
      </c>
      <c r="H11" s="7" t="s">
        <v>31</v>
      </c>
      <c r="I11" s="7" t="s">
        <v>42</v>
      </c>
      <c r="J11" s="7" t="s">
        <v>43</v>
      </c>
    </row>
    <row r="12" spans="1:10" ht="46" customHeight="1">
      <c r="A12" s="7" t="s">
        <v>44</v>
      </c>
      <c r="B12" s="7" t="s">
        <v>14</v>
      </c>
      <c r="C12" s="7" t="s">
        <v>15</v>
      </c>
      <c r="D12" s="5">
        <v>1</v>
      </c>
      <c r="E12" s="7" t="s">
        <v>45</v>
      </c>
      <c r="H12" s="7" t="s">
        <v>31</v>
      </c>
      <c r="I12" s="7" t="s">
        <v>46</v>
      </c>
      <c r="J12" s="7" t="s">
        <v>47</v>
      </c>
    </row>
    <row r="13" spans="1:10" ht="46" customHeight="1">
      <c r="A13" s="7" t="s">
        <v>48</v>
      </c>
      <c r="B13" s="7" t="s">
        <v>21</v>
      </c>
      <c r="C13" s="7" t="s">
        <v>22</v>
      </c>
      <c r="D13" s="7" t="s">
        <v>51</v>
      </c>
      <c r="E13" s="7" t="s">
        <v>16</v>
      </c>
      <c r="H13" s="7" t="s">
        <v>31</v>
      </c>
      <c r="I13" s="7" t="s">
        <v>49</v>
      </c>
      <c r="J13" s="7" t="s">
        <v>50</v>
      </c>
    </row>
    <row r="15" spans="1:10">
      <c r="D15" s="8" t="s">
        <v>70</v>
      </c>
      <c r="E15" s="8"/>
      <c r="F15" s="8"/>
      <c r="G15" s="6">
        <f>SUM(G6:G13)</f>
        <v>26.16</v>
      </c>
    </row>
    <row r="16" spans="1:10">
      <c r="D16" s="8" t="s">
        <v>71</v>
      </c>
      <c r="E16" s="8"/>
      <c r="F16" s="8"/>
      <c r="G16" s="5">
        <f>COUNTIF(H6:H13,"REVIEW")+COUNTA(Exceptions!A6:A105)</f>
        <v>5</v>
      </c>
    </row>
    <row r="17" spans="1:10">
      <c r="D17" s="8" t="s">
        <v>72</v>
      </c>
      <c r="E17" s="8"/>
      <c r="F17" s="8"/>
      <c r="G17" s="6">
        <f>IF(G16&gt;0,"",G15)</f>
        <v/>
      </c>
    </row>
    <row r="19" spans="1:10" ht="30" customHeight="1">
      <c r="A19" s="2" t="s">
        <v>55</v>
      </c>
      <c r="B19" s="2"/>
      <c r="C19" s="2"/>
      <c r="D19" s="2"/>
      <c r="E19" s="2"/>
      <c r="F19" s="2"/>
      <c r="G19" s="2"/>
      <c r="H19" s="2"/>
      <c r="I19" s="2"/>
      <c r="J19" s="2"/>
    </row>
  </sheetData>
  <autoFilter ref="A5:J13"/>
  <mergeCells count="7">
    <mergeCell ref="A1:J1"/>
    <mergeCell ref="A2:J2"/>
    <mergeCell ref="A3:J3"/>
    <mergeCell ref="D15:F15"/>
    <mergeCell ref="D16:F16"/>
    <mergeCell ref="D17:F17"/>
    <mergeCell ref="A19:J19"/>
  </mergeCells>
  <pageMargins left="0.25" right="0.25" top="0.4" bottom="0.4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8.7109375" customWidth="1"/>
    <col min="2" max="2" width="45.7109375" customWidth="1"/>
    <col min="3" max="3" width="70.7109375" customWidth="1"/>
  </cols>
  <sheetData>
    <row r="1" spans="1:3" ht="36" customHeight="1">
      <c r="A1" s="1" t="s">
        <v>73</v>
      </c>
      <c r="B1" s="1"/>
      <c r="C1" s="1"/>
    </row>
    <row r="2" spans="1:3" ht="30" customHeight="1">
      <c r="A2" s="2" t="s">
        <v>74</v>
      </c>
      <c r="B2" s="2"/>
      <c r="C2" s="2"/>
    </row>
    <row r="3" spans="1:3">
      <c r="A3" s="2" t="s">
        <v>77</v>
      </c>
      <c r="B3" s="2"/>
      <c r="C3" s="2"/>
    </row>
    <row r="5" spans="1:3" ht="28" customHeight="1">
      <c r="A5" s="3" t="s">
        <v>12</v>
      </c>
      <c r="B5" s="3" t="s">
        <v>75</v>
      </c>
      <c r="C5" s="3" t="s">
        <v>76</v>
      </c>
    </row>
  </sheetData>
  <mergeCells count="3">
    <mergeCell ref="A1:C1"/>
    <mergeCell ref="A2:C2"/>
    <mergeCell ref="A3:C3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Quote EN</vt:lpstr>
      <vt:lpstr>عرض السعر AR</vt:lpstr>
      <vt:lpstr>Exceptions</vt:lpstr>
      <vt:lpstr>'Quote EN'!Print_Area</vt:lpstr>
      <vt:lpstr>'عرض السعر AR'!Print_Area</vt:lpstr>
      <vt:lpstr>'Quote EN'!Print_Titles</vt:lpstr>
      <vt:lpstr>'عرض السعر AR'!Print_Titles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RFQ Review Draft</dc:title>
  <dc:creator/>
  <dc:description>Synthetic demonstration; regenerated snapshot, not a price source.</dc:description>
  <cp:lastModifiedBy/>
  <dcterms:created xsi:type="dcterms:W3CDTF">2026-09-15T14:42:04Z</dcterms:created>
  <dcterms:modified xsi:type="dcterms:W3CDTF">2026-09-15T14:42:04Z</dcterms:modified>
</cp:coreProperties>
</file>